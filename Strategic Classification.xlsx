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lifeunisaac-my.sharepoint.com/personal/ttshayv_unisa_ac_za/Documents/Enterprise Architecture/Enterprise Architecture Governance in Action/ICT Demand Management/"/>
    </mc:Choice>
  </mc:AlternateContent>
  <xr:revisionPtr revIDLastSave="2" documentId="8_{7130DCC8-652B-4AA2-AFEB-4A96718C3281}" xr6:coauthVersionLast="47" xr6:coauthVersionMax="47" xr10:uidLastSave="{3918CBB0-5F76-470A-96C2-FAE49244F692}"/>
  <bookViews>
    <workbookView xWindow="-108" yWindow="-108" windowWidth="23256" windowHeight="13176" xr2:uid="{6C011D57-15D6-4628-9976-95D7FA8D12A4}"/>
  </bookViews>
  <sheets>
    <sheet name="Strategic Classification" sheetId="6" r:id="rId1"/>
    <sheet name="Sheet3" sheetId="5" state="hidden" r:id="rId2"/>
    <sheet name="Sheet2" sheetId="2" state="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C13" i="6"/>
  <c r="D13" i="6"/>
  <c r="E13" i="6" l="1"/>
  <c r="C15" i="6" s="1"/>
</calcChain>
</file>

<file path=xl/sharedStrings.xml><?xml version="1.0" encoding="utf-8"?>
<sst xmlns="http://schemas.openxmlformats.org/spreadsheetml/2006/main" count="19" uniqueCount="19">
  <si>
    <t>Select</t>
  </si>
  <si>
    <t>Strategic Classification</t>
  </si>
  <si>
    <t>Totals for Strategic Pillars and Enablers</t>
  </si>
  <si>
    <t>Enabler 5: Infrastructure and Operations</t>
  </si>
  <si>
    <t>Enabler 4: Financial Sustainability</t>
  </si>
  <si>
    <t>Enabler 3: Governance, Reporting and Management Systems</t>
  </si>
  <si>
    <t>Enabler 2: Digitalization and Digitization</t>
  </si>
  <si>
    <t>Enabler 1: People</t>
  </si>
  <si>
    <t>Pillar 5: Resourcing our Futures</t>
  </si>
  <si>
    <t>Pillar 4: Strengthen Student Support Services</t>
  </si>
  <si>
    <t>Pillar 3: Pivot Engaged Scholarship and Global Impact</t>
  </si>
  <si>
    <t>Pillar 2: Propel Research Innovation</t>
  </si>
  <si>
    <t>Pillar 1: Advance Technology Mediated, Quality Learning and Teaching</t>
  </si>
  <si>
    <t>Points</t>
  </si>
  <si>
    <t>Score</t>
  </si>
  <si>
    <t>Weight</t>
  </si>
  <si>
    <t>Strategic Pillars and Enablers</t>
  </si>
  <si>
    <t>Ranking</t>
  </si>
  <si>
    <t>Just select the scores on cells (D3 to D12).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</si>
</sst>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" fontId="2" fillId="0" borderId="9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2" fontId="0" fillId="0" borderId="11" xfId="0" applyNumberFormat="1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0" fillId="0" borderId="2" xfId="0" applyBorder="1"/>
    <xf numFmtId="0" fontId="5" fillId="0" borderId="2" xfId="0" applyFont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Normal" xfId="0" builtinId="0"/>
    <cellStyle name="Normal 2" xfId="1" xr:uid="{B58094D1-9E81-4F3B-BAA1-567F637A85A6}"/>
  </cellStyles>
  <dxfs count="3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11</xdr:row>
      <xdr:rowOff>7620</xdr:rowOff>
    </xdr:from>
    <xdr:to>
      <xdr:col>6</xdr:col>
      <xdr:colOff>586740</xdr:colOff>
      <xdr:row>15</xdr:row>
      <xdr:rowOff>0</xdr:rowOff>
    </xdr:to>
    <xdr:sp macro="[1]!t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B297505-F949-47ED-82CD-6E90F0040F4A}"/>
            </a:ext>
          </a:extLst>
        </xdr:cNvPr>
        <xdr:cNvSpPr/>
      </xdr:nvSpPr>
      <xdr:spPr>
        <a:xfrm>
          <a:off x="3078480" y="2019300"/>
          <a:ext cx="1165860" cy="72390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ZA" sz="1200" b="1" u="sng"/>
            <a:t>Reset All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ylifeunisaac-my.sharepoint.com/personal/ttshayv_unisa_ac_za/Documents/Enterprise%20Architecture/Enterprise%20Architecture%20Governance%20in%20Action/ICT%20Demand%20Management/Initiative%20Classification%20Tool%20-%20New%20Strategy.xlsm" TargetMode="External"/><Relationship Id="rId2" Type="http://schemas.microsoft.com/office/2019/04/relationships/externalLinkLongPath" Target="Initiative%20Classification%20Tool%20-%20New%20Strategy.xlsm?4FAFDD26" TargetMode="External"/><Relationship Id="rId1" Type="http://schemas.openxmlformats.org/officeDocument/2006/relationships/externalLinkPath" Target="file:///\\4FAFDD26\Initiative%20Classification%20Tool%20-%20New%20Strateg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lassification"/>
      <sheetName val="Sheet2"/>
      <sheetName val="Initiative Classification Tool "/>
    </sheetNames>
    <definedNames>
      <definedName name="t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EECC-0D23-43FA-BB31-B533E4644ED9}">
  <sheetPr codeName="Sheet1"/>
  <dimension ref="A1:E15"/>
  <sheetViews>
    <sheetView showFormulas="1" tabSelected="1" zoomScaleNormal="100" workbookViewId="0">
      <selection activeCell="B3" sqref="B3:B12"/>
    </sheetView>
  </sheetViews>
  <sheetFormatPr defaultRowHeight="14.4" x14ac:dyDescent="0.3"/>
  <cols>
    <col min="1" max="1" width="4" style="1" bestFit="1" customWidth="1"/>
    <col min="2" max="2" width="29.44140625" style="1" bestFit="1" customWidth="1"/>
    <col min="3" max="3" width="6.77734375" style="1" bestFit="1" customWidth="1"/>
    <col min="4" max="4" width="6.88671875" style="1" bestFit="1" customWidth="1"/>
    <col min="5" max="5" width="33.88671875" style="1" customWidth="1"/>
    <col min="6" max="16384" width="8.88671875" style="1"/>
  </cols>
  <sheetData>
    <row r="1" spans="1:5" ht="21.6" thickBot="1" x14ac:dyDescent="0.35">
      <c r="A1" s="16" t="s">
        <v>18</v>
      </c>
      <c r="B1" s="17"/>
      <c r="C1" s="17"/>
      <c r="D1" s="17"/>
      <c r="E1" s="18"/>
    </row>
    <row r="2" spans="1:5" ht="15" thickBot="1" x14ac:dyDescent="0.35">
      <c r="A2" s="15" t="s">
        <v>17</v>
      </c>
      <c r="B2" s="14" t="s">
        <v>16</v>
      </c>
      <c r="C2" s="14" t="s">
        <v>15</v>
      </c>
      <c r="D2" s="14" t="s">
        <v>14</v>
      </c>
      <c r="E2" s="13" t="s">
        <v>13</v>
      </c>
    </row>
    <row r="3" spans="1:5" x14ac:dyDescent="0.3">
      <c r="A3" s="9">
        <v>1</v>
      </c>
      <c r="B3" s="12" t="s">
        <v>12</v>
      </c>
      <c r="C3" s="11">
        <v>17</v>
      </c>
      <c r="D3" s="6"/>
      <c r="E3" s="5">
        <f t="shared" ref="E3:E12" si="0">IF(D3=0,0,IF(D3=1,C3*0.15,IF(D3=5,C3*0.6,IF(D3=10,C3*1.25))))</f>
        <v>0</v>
      </c>
    </row>
    <row r="4" spans="1:5" x14ac:dyDescent="0.3">
      <c r="A4" s="10">
        <v>2</v>
      </c>
      <c r="B4" s="8" t="s">
        <v>11</v>
      </c>
      <c r="C4" s="7">
        <v>15</v>
      </c>
      <c r="D4" s="6"/>
      <c r="E4" s="5">
        <f t="shared" si="0"/>
        <v>0</v>
      </c>
    </row>
    <row r="5" spans="1:5" x14ac:dyDescent="0.3">
      <c r="A5" s="9">
        <v>3</v>
      </c>
      <c r="B5" s="8" t="s">
        <v>10</v>
      </c>
      <c r="C5" s="7">
        <v>13</v>
      </c>
      <c r="D5" s="6"/>
      <c r="E5" s="5">
        <f t="shared" si="0"/>
        <v>0</v>
      </c>
    </row>
    <row r="6" spans="1:5" x14ac:dyDescent="0.3">
      <c r="A6" s="9">
        <v>4</v>
      </c>
      <c r="B6" s="8" t="s">
        <v>9</v>
      </c>
      <c r="C6" s="7">
        <v>11</v>
      </c>
      <c r="D6" s="6"/>
      <c r="E6" s="5">
        <f t="shared" si="0"/>
        <v>0</v>
      </c>
    </row>
    <row r="7" spans="1:5" x14ac:dyDescent="0.3">
      <c r="A7" s="10">
        <v>5</v>
      </c>
      <c r="B7" s="8" t="s">
        <v>8</v>
      </c>
      <c r="C7" s="7">
        <v>9</v>
      </c>
      <c r="D7" s="6"/>
      <c r="E7" s="5">
        <f t="shared" si="0"/>
        <v>0</v>
      </c>
    </row>
    <row r="8" spans="1:5" x14ac:dyDescent="0.3">
      <c r="A8" s="9">
        <v>6</v>
      </c>
      <c r="B8" s="8" t="s">
        <v>7</v>
      </c>
      <c r="C8" s="7">
        <v>7</v>
      </c>
      <c r="D8" s="6"/>
      <c r="E8" s="5">
        <f t="shared" si="0"/>
        <v>0</v>
      </c>
    </row>
    <row r="9" spans="1:5" x14ac:dyDescent="0.3">
      <c r="A9" s="9">
        <v>7</v>
      </c>
      <c r="B9" s="8" t="s">
        <v>6</v>
      </c>
      <c r="C9" s="7">
        <v>7</v>
      </c>
      <c r="D9" s="6"/>
      <c r="E9" s="5">
        <f t="shared" si="0"/>
        <v>0</v>
      </c>
    </row>
    <row r="10" spans="1:5" x14ac:dyDescent="0.3">
      <c r="A10" s="10">
        <v>8</v>
      </c>
      <c r="B10" s="8" t="s">
        <v>5</v>
      </c>
      <c r="C10" s="7">
        <v>7</v>
      </c>
      <c r="D10" s="6"/>
      <c r="E10" s="5">
        <f t="shared" si="0"/>
        <v>0</v>
      </c>
    </row>
    <row r="11" spans="1:5" x14ac:dyDescent="0.3">
      <c r="A11" s="9">
        <v>9</v>
      </c>
      <c r="B11" s="8" t="s">
        <v>4</v>
      </c>
      <c r="C11" s="7">
        <v>7</v>
      </c>
      <c r="D11" s="6"/>
      <c r="E11" s="5">
        <f t="shared" si="0"/>
        <v>0</v>
      </c>
    </row>
    <row r="12" spans="1:5" x14ac:dyDescent="0.3">
      <c r="A12" s="9">
        <v>10</v>
      </c>
      <c r="B12" s="8" t="s">
        <v>3</v>
      </c>
      <c r="C12" s="7">
        <v>7</v>
      </c>
      <c r="D12" s="6"/>
      <c r="E12" s="5">
        <f t="shared" si="0"/>
        <v>0</v>
      </c>
    </row>
    <row r="13" spans="1:5" x14ac:dyDescent="0.3">
      <c r="A13" s="19" t="s">
        <v>2</v>
      </c>
      <c r="B13" s="20"/>
      <c r="C13" s="4">
        <f>SUM(C3:C12)</f>
        <v>100</v>
      </c>
      <c r="D13" s="4">
        <f>SUM(D3:D12)</f>
        <v>0</v>
      </c>
      <c r="E13" s="3">
        <f>SUM(E3:E12)</f>
        <v>0</v>
      </c>
    </row>
    <row r="14" spans="1:5" ht="15" thickBot="1" x14ac:dyDescent="0.35">
      <c r="A14" s="24"/>
      <c r="B14" s="25"/>
      <c r="C14" s="25"/>
      <c r="D14" s="25"/>
      <c r="E14" s="26"/>
    </row>
    <row r="15" spans="1:5" s="2" customFormat="1" ht="18.600000000000001" thickBot="1" x14ac:dyDescent="0.35">
      <c r="A15" s="23" t="s">
        <v>1</v>
      </c>
      <c r="B15" s="21"/>
      <c r="C15" s="21" t="str">
        <f>IF(E13=0,"",IF(E13&lt;25,"Minor",IF(E13&lt;75,"Medium",IF(SUM(E3:E12)&gt;74.9,"High"))))</f>
        <v/>
      </c>
      <c r="D15" s="21"/>
      <c r="E15" s="22"/>
    </row>
  </sheetData>
  <mergeCells count="5">
    <mergeCell ref="A1:E1"/>
    <mergeCell ref="A13:B13"/>
    <mergeCell ref="C15:E15"/>
    <mergeCell ref="A15:B15"/>
    <mergeCell ref="A14:E14"/>
  </mergeCells>
  <conditionalFormatting sqref="C15">
    <cfRule type="cellIs" dxfId="2" priority="1" operator="equal">
      <formula>"High"</formula>
    </cfRule>
    <cfRule type="cellIs" dxfId="1" priority="2" operator="equal">
      <formula>"Medium"</formula>
    </cfRule>
    <cfRule type="cellIs" dxfId="0" priority="3" operator="equal">
      <formula>"Minor"</formula>
    </cfRule>
  </conditionalFormatting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1E288D-B429-452B-9A90-E443D47EDB20}">
          <x14:formula1>
            <xm:f>Sheet3!$A$1:$A$4</xm:f>
          </x14:formula1>
          <xm:sqref>D3:D12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A125-FA2A-40CC-8A15-7E1AF00B00A5}">
  <sheetPr codeName="Sheet3"/>
  <dimension ref="A1:A4"/>
  <sheetViews>
    <sheetView workbookViewId="0">
      <selection activeCell="A2" sqref="A2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1</v>
      </c>
    </row>
    <row r="3" spans="1:1" x14ac:dyDescent="0.3">
      <c r="A3">
        <v>5</v>
      </c>
    </row>
    <row r="4" spans="1:1" x14ac:dyDescent="0.3">
      <c r="A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D477-ED93-41FC-BDD2-5673372B4488}">
  <sheetPr codeName="Sheet3"/>
  <dimension ref="A1:A4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5</v>
      </c>
    </row>
    <row r="4" spans="1:1" x14ac:dyDescent="0.3">
      <c r="A4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9a8b8c-3ea3-4799-a43e-5510398e7a3b}" enabled="0" method="" siteId="{ca9a8b8c-3ea3-4799-a43e-5510398e7a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Strategic Classification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Vusi Tshayingwe</dc:creator>
  <cp:lastModifiedBy>Tshayingwe, Vusumuzi</cp:lastModifiedBy>
  <dcterms:created xsi:type="dcterms:W3CDTF">2020-12-03T15:24:01Z</dcterms:created>
  <dcterms:modified xsi:type="dcterms:W3CDTF">2026-05-06T19:21:59Z</dcterms:modified>
</cp:coreProperties>
</file>